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281BDDB0-71D8-4393-A1FE-961E01FB264B}" xr6:coauthVersionLast="47" xr6:coauthVersionMax="47" xr10:uidLastSave="{00000000-0000-0000-0000-000000000000}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<sst xmlns="http://schemas.openxmlformats.org/spreadsheetml/2006/main" count="135" uniqueCount="59">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</sst>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3" t="s">
        <v>6</v>
      </c>
      <c r="B1" s="10" t="s">
        <v>0</v>
      </c>
      <c r="C1" s="33" t="s">
        <v>1</v>
      </c>
      <c r="D1" s="53" t="s">
        <v>6</v>
      </c>
      <c r="E1" s="10" t="s">
        <v>0</v>
      </c>
      <c r="F1" s="33" t="s">
        <v>1</v>
      </c>
      <c r="Z1" s="99"/>
    </row>
    <row r="2" spans="1:26" ht="12.5" customHeight="1" x14ac:dyDescent="0.25">
      <c r="A2" s="101" t="s">
        <v>2</v>
      </c>
      <c r="B2" s="102"/>
      <c r="C2" s="103"/>
      <c r="D2" s="101"/>
      <c r="E2" s="102"/>
      <c r="F2" s="103"/>
    </row>
    <row r="3" spans="1:26" ht="12.5" customHeight="1" x14ac:dyDescent="0.25">
      <c r="A3" s="79"/>
      <c r="B3" s="80"/>
      <c r="C3" s="81"/>
      <c r="D3" s="82"/>
      <c r="E3" s="80"/>
      <c r="F3" s="81"/>
    </row>
    <row r="4" spans="1:26" ht="12.5" customHeight="1" x14ac:dyDescent="0.25">
      <c r="A4" s="63"/>
      <c r="B4" s="59"/>
      <c r="C4" s="61"/>
      <c r="D4" s="65"/>
      <c r="E4" s="59"/>
      <c r="F4" s="61"/>
    </row>
    <row r="5" spans="1:26" ht="12.5" customHeight="1" x14ac:dyDescent="0.25">
      <c r="A5" s="63"/>
      <c r="B5" s="59"/>
      <c r="C5" s="61"/>
      <c r="D5" s="65"/>
      <c r="E5" s="59"/>
      <c r="F5" s="61"/>
    </row>
    <row r="6" spans="1:26" ht="12.5" customHeight="1" x14ac:dyDescent="0.25">
      <c r="A6" s="63"/>
      <c r="B6" s="59"/>
      <c r="C6" s="61"/>
      <c r="D6" s="65"/>
      <c r="E6" s="59"/>
      <c r="F6" s="61"/>
    </row>
    <row r="7" spans="1:26" ht="12.5" customHeight="1" x14ac:dyDescent="0.25">
      <c r="A7" s="63"/>
      <c r="B7" s="59"/>
      <c r="C7" s="61"/>
      <c r="D7" s="65"/>
      <c r="E7" s="59"/>
      <c r="F7" s="61"/>
    </row>
    <row r="8" spans="1:26" ht="12.5" customHeight="1" x14ac:dyDescent="0.25">
      <c r="A8" s="63"/>
      <c r="B8" s="59"/>
      <c r="C8" s="61"/>
      <c r="D8" s="65"/>
      <c r="E8" s="59"/>
      <c r="F8" s="61"/>
    </row>
    <row r="9" spans="1:26" ht="12.5" customHeight="1" x14ac:dyDescent="0.25">
      <c r="A9" s="63"/>
      <c r="B9" s="59"/>
      <c r="C9" s="61"/>
      <c r="D9" s="65"/>
      <c r="E9" s="59"/>
      <c r="F9" s="61"/>
    </row>
    <row r="10" spans="1:26" ht="12.5" customHeight="1" x14ac:dyDescent="0.25">
      <c r="A10" s="63"/>
      <c r="B10" s="59"/>
      <c r="C10" s="61"/>
      <c r="D10" s="65"/>
      <c r="E10" s="59"/>
      <c r="F10" s="61"/>
    </row>
    <row r="11" spans="1:26" ht="12.5" customHeight="1" x14ac:dyDescent="0.25">
      <c r="A11" s="64"/>
      <c r="B11" s="60"/>
      <c r="C11" s="62"/>
      <c r="D11" s="66"/>
      <c r="E11" s="60"/>
      <c r="F11" s="62"/>
    </row>
    <row r="12" spans="1:26" ht="12.5" customHeight="1" x14ac:dyDescent="0.25">
      <c r="A12" s="58" t="s">
        <v>3</v>
      </c>
      <c r="B12" s="58" t="s">
        <v>3</v>
      </c>
      <c r="C12" s="35"/>
      <c r="D12" s="58" t="s">
        <v>3</v>
      </c>
      <c r="E12" s="58" t="s">
        <v>3</v>
      </c>
      <c r="F12" s="37"/>
      <c r="G12" s="1"/>
    </row>
    <row r="13" spans="1:26" ht="12.5" customHeight="1" x14ac:dyDescent="0.25">
      <c r="A13" s="40" t="str">
        <f>IF(AND(COUNTA(A3:A11), A2&lt;&gt;"Person1 - Employer"),AVERAGE(A3:A11), "")</f>
        <v/>
      </c>
      <c r="B13" s="6" t="str">
        <f>IF(COUNTA(B3:B11),AVERAGE(B3:B11), "")</f>
        <v/>
      </c>
      <c r="D13" s="40" t="str">
        <f>IF(AND(COUNTA(D3:D11), D2&lt;&gt;"Person1 - Employer"),AVERAGE(D3:D11), "")</f>
        <v/>
      </c>
      <c r="E13" s="6" t="str">
        <f>IF(COUNTA(E3:E11),AVERAGE(E3:E11), "")</f>
        <v/>
      </c>
      <c r="F13" s="36"/>
      <c r="G13" s="2"/>
    </row>
    <row r="14" spans="1:26" ht="12.5" customHeight="1" x14ac:dyDescent="0.25">
      <c r="A14" s="3" t="s">
        <v>4</v>
      </c>
      <c r="B14" s="10" t="s">
        <v>51</v>
      </c>
      <c r="C14" s="35"/>
      <c r="D14" s="3" t="s">
        <v>4</v>
      </c>
      <c r="E14" s="10" t="s">
        <v>51</v>
      </c>
      <c r="F14" s="37"/>
      <c r="G14" s="1"/>
    </row>
    <row r="15" spans="1:26" ht="12.5" customHeight="1" x14ac:dyDescent="0.25">
      <c r="A15" s="40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8"/>
      <c r="D15" s="40" t="str" cm="1">
        <f t="array" ref="D15">IF(D13&lt;&gt;"", (ROUND(D13, 2)*_xlfn.SWITCH(D1, "Biweekly", 26, "Weekly", 52, "Semimonthly", 24, "Monthly", 12)*IF($D40 &lt;&gt;"", $D40, 1)*IF($D36&lt;&gt;"", $D36, 1)), "")</f>
        <v/>
      </c>
      <c r="E15" s="6" t="str" cm="1">
        <f t="array" ref="E15">IF(E13&lt;&gt;"",E13*_xlfn.SWITCH(D1, "Biweekly", 26, "Weekly", 52, "Semimonthly", 24, "Monthly", 12)/52, "")</f>
        <v/>
      </c>
      <c r="F15" s="39"/>
      <c r="G15" s="2"/>
    </row>
    <row r="18" spans="1:7" ht="12.5" customHeight="1" x14ac:dyDescent="0.25">
      <c r="A18" s="4" t="s">
        <v>5</v>
      </c>
      <c r="B18" s="10" t="s">
        <v>6</v>
      </c>
      <c r="C18" s="33" t="s">
        <v>28</v>
      </c>
      <c r="D18" s="10" t="s">
        <v>8</v>
      </c>
      <c r="E18" s="83" t="s">
        <v>7</v>
      </c>
      <c r="F18" s="10" t="s">
        <v>9</v>
      </c>
    </row>
    <row r="19" spans="1:7" ht="12.5" customHeight="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7" ht="12.5" customHeight="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7" ht="12.5" customHeight="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7" ht="12.5" customHeight="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7" ht="12.5" customHeight="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7" ht="12.5" customHeight="1" x14ac:dyDescent="0.3">
      <c r="A25" s="104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4"/>
      <c r="C25" s="104"/>
      <c r="D25" s="104"/>
      <c r="E25" s="104"/>
      <c r="F25" s="104"/>
      <c r="G25" s="104"/>
    </row>
    <row r="26" spans="1:7" ht="12.5" customHeight="1" x14ac:dyDescent="0.3">
      <c r="A26" s="104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4"/>
      <c r="C26" s="104"/>
      <c r="D26" s="104"/>
      <c r="E26" s="104"/>
      <c r="F26" s="104"/>
      <c r="G26" s="104"/>
    </row>
    <row r="27" spans="1:7" ht="12.5" customHeight="1" x14ac:dyDescent="0.3">
      <c r="A27" s="10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4"/>
      <c r="C27" s="104"/>
      <c r="D27" s="104"/>
      <c r="E27" s="104"/>
      <c r="F27" s="104"/>
      <c r="G27" s="104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4"/>
      <c r="D33" s="11"/>
      <c r="E33" s="11"/>
      <c r="F33" s="34"/>
    </row>
    <row r="35" spans="1:6" ht="12.5" customHeight="1" x14ac:dyDescent="0.25">
      <c r="A35" s="51" t="s">
        <v>15</v>
      </c>
      <c r="B35" s="52" t="s">
        <v>16</v>
      </c>
      <c r="C35" s="52" t="s">
        <v>17</v>
      </c>
      <c r="D35" s="52" t="s">
        <v>18</v>
      </c>
    </row>
    <row r="36" spans="1:6" ht="12.5" customHeight="1" x14ac:dyDescent="0.25">
      <c r="A36" s="4" t="s">
        <v>19</v>
      </c>
      <c r="B36" s="73"/>
      <c r="C36" s="90"/>
      <c r="D36" s="92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4"/>
      <c r="C37" s="91"/>
      <c r="D37" s="93" t="str">
        <f>IF($B37,$B37/52,IF($C37,$C37/12,""))</f>
        <v/>
      </c>
      <c r="E37" s="13"/>
    </row>
    <row r="39" spans="1:6" ht="12.5" customHeight="1" x14ac:dyDescent="0.25">
      <c r="A39" s="51" t="s">
        <v>21</v>
      </c>
      <c r="B39" s="52" t="s">
        <v>22</v>
      </c>
      <c r="C39" s="52" t="s">
        <v>23</v>
      </c>
      <c r="D39" s="52" t="s">
        <v>18</v>
      </c>
    </row>
    <row r="40" spans="1:6" ht="12.5" customHeight="1" x14ac:dyDescent="0.25">
      <c r="A40" s="4" t="s">
        <v>19</v>
      </c>
      <c r="B40" s="75"/>
      <c r="C40" s="94"/>
      <c r="D40" s="92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6"/>
      <c r="C41" s="95"/>
      <c r="D41" s="93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100" t="str">
        <f>IF($D36&lt;&gt;"",IF(COUNTA($B36),"(contract: "&amp; $B36 &amp;"/52 weeks)","(contract: "&amp;C36&amp;"/12 months)"),"")</f>
        <v/>
      </c>
      <c r="C43" s="100"/>
      <c r="D43" s="100"/>
      <c r="E43" s="100"/>
    </row>
    <row r="44" spans="1:6" ht="12.5" customHeight="1" x14ac:dyDescent="0.25">
      <c r="A44" t="s">
        <v>25</v>
      </c>
      <c r="B44" s="100" t="str">
        <f>IF($D37&lt;&gt;"",IF(COUNTA($B37),"(contract: "&amp; $B37 &amp;"/52 weeks)","(contract: "&amp;C37&amp;"/12 months)"),"")</f>
        <v/>
      </c>
      <c r="C44" s="100"/>
      <c r="D44" s="100"/>
      <c r="E44" s="100"/>
    </row>
    <row r="46" spans="1:6" ht="12.5" customHeight="1" x14ac:dyDescent="0.25">
      <c r="A46" t="s">
        <v>26</v>
      </c>
      <c r="B46" s="100" t="str">
        <f>IF($D40&lt;&gt;"","(Leave: "&amp;(DATEDIF($B40,$C40,"d")+1)&amp;" days)","")</f>
        <v/>
      </c>
      <c r="C46" s="100"/>
      <c r="D46" s="100"/>
      <c r="E46" s="100"/>
    </row>
    <row r="47" spans="1:6" ht="12.5" customHeight="1" x14ac:dyDescent="0.25">
      <c r="A47" t="s">
        <v>27</v>
      </c>
      <c r="B47" s="100" t="str">
        <f>IF($D41&lt;&gt;"","(Leave: "&amp;(DATEDIF($B41,$C41,"d")+1)&amp;" days)","")</f>
        <v/>
      </c>
      <c r="C47" s="100"/>
      <c r="D47" s="100"/>
      <c r="E47" s="100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27" customWidth="1"/>
    <col min="2" max="2" width="10.54296875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7" t="s">
        <v>13</v>
      </c>
      <c r="E1" s="107"/>
      <c r="G1" s="107" t="s">
        <v>37</v>
      </c>
      <c r="H1" s="107"/>
      <c r="I1" s="107"/>
      <c r="J1" s="107"/>
      <c r="K1" s="25"/>
      <c r="Z1" s="99"/>
    </row>
    <row r="2" spans="1:26" x14ac:dyDescent="0.25">
      <c r="A2" s="42"/>
      <c r="B2" s="43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A3" s="44"/>
      <c r="B3" s="45"/>
      <c r="G3" s="110">
        <f ca="1">TODAY()-ROUNDDOWN(($E$5/12*365),0)</f>
        <v>45681</v>
      </c>
      <c r="H3" s="110"/>
      <c r="I3" s="110"/>
      <c r="J3" s="110"/>
    </row>
    <row r="4" spans="1:26" x14ac:dyDescent="0.25">
      <c r="A4" s="44"/>
      <c r="B4" s="45"/>
    </row>
    <row r="5" spans="1:26" ht="12.65" customHeight="1" x14ac:dyDescent="0.25">
      <c r="A5" s="44"/>
      <c r="B5" s="45"/>
      <c r="D5" s="55" t="s">
        <v>35</v>
      </c>
      <c r="E5" s="54">
        <v>6</v>
      </c>
      <c r="G5" s="108" t="s">
        <v>38</v>
      </c>
      <c r="H5" s="24"/>
      <c r="I5" s="31"/>
      <c r="J5" s="31"/>
    </row>
    <row r="6" spans="1:26" x14ac:dyDescent="0.25">
      <c r="A6" s="44"/>
      <c r="B6" s="45"/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A7" s="44"/>
      <c r="B7" s="45"/>
      <c r="G7" s="32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A8" s="44"/>
      <c r="B8" s="45"/>
      <c r="D8" s="106" t="str">
        <f>CSMonths &amp;" month total:"</f>
        <v>6 month total:</v>
      </c>
      <c r="E8" s="106"/>
      <c r="F8" s="19"/>
      <c r="G8" s="32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A9" s="44"/>
      <c r="B9" s="45"/>
      <c r="D9" s="56">
        <f>SUM(B2:B30)</f>
        <v>0</v>
      </c>
      <c r="E9" s="57"/>
      <c r="G9" s="32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A10" s="44"/>
      <c r="B10" s="45"/>
      <c r="G10" s="32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A11" s="44"/>
      <c r="B11" s="45"/>
      <c r="D11" s="106" t="str">
        <f>IF(D8="12 Month Total:","","Annualized:")</f>
        <v>Annualized:</v>
      </c>
      <c r="E11" s="106"/>
      <c r="G11" s="32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A12" s="44"/>
      <c r="B12" s="45"/>
      <c r="D12" s="56">
        <f>IF(D11&lt;&gt;"", D9/E5*12, "")</f>
        <v>0</v>
      </c>
      <c r="E12" s="57"/>
      <c r="G12" s="32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A13" s="44"/>
      <c r="B13" s="45"/>
      <c r="G13" s="32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A14" s="44"/>
      <c r="B14" s="45"/>
      <c r="G14" s="32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A15" s="44"/>
      <c r="B15" s="45"/>
      <c r="G15" s="32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A16" s="44"/>
      <c r="B16" s="45"/>
      <c r="G16" s="32">
        <v>10</v>
      </c>
      <c r="H16" s="20">
        <v>9</v>
      </c>
      <c r="I16" s="21" t="s">
        <v>39</v>
      </c>
      <c r="J16" s="23">
        <f t="shared" si="0"/>
        <v>4</v>
      </c>
    </row>
    <row r="17" spans="1:10" x14ac:dyDescent="0.25">
      <c r="A17" s="44"/>
      <c r="B17" s="45"/>
      <c r="G17" s="32">
        <v>11</v>
      </c>
      <c r="H17" s="20">
        <v>10</v>
      </c>
      <c r="I17" s="21" t="s">
        <v>39</v>
      </c>
      <c r="J17" s="23">
        <f t="shared" si="0"/>
        <v>5</v>
      </c>
    </row>
    <row r="18" spans="1:10" x14ac:dyDescent="0.25">
      <c r="A18" s="44"/>
      <c r="B18" s="45"/>
      <c r="G18" s="32">
        <v>12</v>
      </c>
      <c r="H18" s="20">
        <v>11</v>
      </c>
      <c r="I18" s="21" t="s">
        <v>39</v>
      </c>
      <c r="J18" s="23">
        <f t="shared" si="0"/>
        <v>6</v>
      </c>
    </row>
    <row r="19" spans="1:10" x14ac:dyDescent="0.25">
      <c r="A19" s="44"/>
      <c r="B19" s="45"/>
    </row>
    <row r="20" spans="1:10" x14ac:dyDescent="0.25">
      <c r="A20" s="44"/>
      <c r="B20" s="45"/>
    </row>
    <row r="21" spans="1:10" ht="12.65" customHeight="1" x14ac:dyDescent="0.25">
      <c r="A21" s="44"/>
      <c r="B21" s="45"/>
      <c r="G21" s="20"/>
      <c r="H21" s="20"/>
      <c r="I21" s="22"/>
    </row>
    <row r="22" spans="1:10" ht="12.65" customHeight="1" x14ac:dyDescent="0.25">
      <c r="A22" s="44"/>
      <c r="B22" s="45"/>
      <c r="G22" s="20"/>
      <c r="H22" s="20"/>
      <c r="I22" s="22"/>
    </row>
    <row r="23" spans="1:10" x14ac:dyDescent="0.25">
      <c r="A23" s="44"/>
      <c r="B23" s="45"/>
      <c r="G23" s="28"/>
      <c r="H23" s="29"/>
      <c r="I23" s="30"/>
      <c r="J23" s="30"/>
    </row>
    <row r="24" spans="1:10" x14ac:dyDescent="0.25">
      <c r="A24" s="44"/>
      <c r="B24" s="45"/>
      <c r="G24" s="28"/>
      <c r="H24" s="29"/>
      <c r="I24" s="30"/>
      <c r="J24" s="30"/>
    </row>
    <row r="25" spans="1:10" x14ac:dyDescent="0.25">
      <c r="A25" s="44"/>
      <c r="B25" s="45"/>
      <c r="G25" s="20"/>
      <c r="H25" s="20"/>
      <c r="I25" s="21"/>
      <c r="J25" s="23"/>
    </row>
    <row r="26" spans="1:10" x14ac:dyDescent="0.25">
      <c r="A26" s="44"/>
      <c r="B26" s="45"/>
      <c r="G26" s="20"/>
      <c r="H26" s="20"/>
      <c r="I26" s="21"/>
      <c r="J26" s="23"/>
    </row>
    <row r="27" spans="1:10" x14ac:dyDescent="0.25">
      <c r="A27" s="44"/>
      <c r="B27" s="45"/>
      <c r="G27" s="20"/>
      <c r="H27" s="20"/>
      <c r="I27" s="21"/>
      <c r="J27" s="23"/>
    </row>
    <row r="28" spans="1:10" x14ac:dyDescent="0.25">
      <c r="A28" s="44"/>
      <c r="B28" s="45"/>
      <c r="G28" s="105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5"/>
      <c r="I28" s="105"/>
      <c r="J28" s="105"/>
    </row>
    <row r="29" spans="1:10" x14ac:dyDescent="0.25">
      <c r="A29" s="44"/>
      <c r="B29" s="45"/>
      <c r="G29" s="105"/>
      <c r="H29" s="105"/>
      <c r="I29" s="105"/>
      <c r="J29" s="105"/>
    </row>
    <row r="30" spans="1:10" x14ac:dyDescent="0.25">
      <c r="A30" s="44"/>
      <c r="B30" s="45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0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7" t="s">
        <v>40</v>
      </c>
      <c r="B1" s="107"/>
      <c r="C1" s="107"/>
      <c r="D1" s="107"/>
      <c r="E1" s="107"/>
      <c r="Z1" s="99"/>
    </row>
    <row r="2" spans="1:26" x14ac:dyDescent="0.25">
      <c r="C2" s="15"/>
    </row>
    <row r="3" spans="1:26" x14ac:dyDescent="0.25">
      <c r="C3" s="15"/>
    </row>
    <row r="4" spans="1:26" x14ac:dyDescent="0.25">
      <c r="A4" s="111" t="s">
        <v>41</v>
      </c>
      <c r="B4" s="111"/>
      <c r="C4" s="15"/>
      <c r="D4" s="111" t="s">
        <v>41</v>
      </c>
      <c r="E4" s="111"/>
    </row>
    <row r="6" spans="1:26" x14ac:dyDescent="0.25">
      <c r="A6" t="s">
        <v>42</v>
      </c>
      <c r="B6" s="46"/>
      <c r="D6" t="s">
        <v>42</v>
      </c>
      <c r="E6" s="46"/>
    </row>
    <row r="7" spans="1:26" x14ac:dyDescent="0.25">
      <c r="A7" t="s">
        <v>43</v>
      </c>
      <c r="B7" s="47"/>
      <c r="D7" t="s">
        <v>43</v>
      </c>
      <c r="E7" s="47"/>
    </row>
    <row r="8" spans="1:26" x14ac:dyDescent="0.25">
      <c r="A8" t="s">
        <v>44</v>
      </c>
      <c r="B8" s="48"/>
      <c r="D8" t="s">
        <v>44</v>
      </c>
      <c r="E8" s="48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10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100"/>
      <c r="C25" s="100"/>
      <c r="D25" s="100"/>
      <c r="E25" s="100"/>
    </row>
    <row r="26" spans="1:5" x14ac:dyDescent="0.25">
      <c r="A26" s="10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100"/>
      <c r="C26" s="100"/>
      <c r="D26" s="100"/>
      <c r="E26" s="100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3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1" t="s">
        <v>48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2" t="s">
        <v>30</v>
      </c>
      <c r="C5" s="113"/>
      <c r="D5" s="114"/>
      <c r="E5" s="49">
        <v>42005</v>
      </c>
    </row>
    <row r="6" spans="2:26" x14ac:dyDescent="0.25">
      <c r="E6" s="7"/>
    </row>
    <row r="7" spans="2:26" x14ac:dyDescent="0.25">
      <c r="B7" s="112" t="s">
        <v>31</v>
      </c>
      <c r="C7" s="113"/>
      <c r="D7" s="114"/>
      <c r="E7" s="50"/>
    </row>
    <row r="8" spans="2:26" x14ac:dyDescent="0.25">
      <c r="E8" s="7"/>
    </row>
    <row r="9" spans="2:26" x14ac:dyDescent="0.25">
      <c r="B9" s="112" t="s">
        <v>32</v>
      </c>
      <c r="C9" s="113"/>
      <c r="D9" s="114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83" t="s">
        <v>7</v>
      </c>
      <c r="F18" s="10" t="s">
        <v>9</v>
      </c>
    </row>
    <row r="19" spans="1:8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8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8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8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8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8" ht="13" x14ac:dyDescent="0.3">
      <c r="A25" s="115" t="str">
        <f>IF(B3&lt;&gt;"Name - Employer",_xlfn.TEXTJOIN(" ",TRUE,B3&amp;": YTD as of "&amp;TEXT(E5,"m/d/yy")&amp;": $"&amp;TEXT(E7,"0.00")&amp;"; annual @ "&amp;TEXT(E9,"0.00"),B41,B43),"")</f>
        <v/>
      </c>
      <c r="B25" s="115"/>
      <c r="C25" s="115"/>
      <c r="D25" s="115"/>
      <c r="E25" s="115"/>
      <c r="F25" s="115"/>
      <c r="G25" s="115"/>
      <c r="H25" s="11"/>
    </row>
    <row r="26" spans="1:8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35" spans="1:5" x14ac:dyDescent="0.25">
      <c r="A35" s="51" t="s">
        <v>50</v>
      </c>
      <c r="B35" s="52" t="s">
        <v>16</v>
      </c>
      <c r="C35" s="52" t="s">
        <v>17</v>
      </c>
      <c r="D35" s="52" t="s">
        <v>18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18</v>
      </c>
    </row>
    <row r="39" spans="1:5" x14ac:dyDescent="0.25">
      <c r="A39" s="4" t="s">
        <v>19</v>
      </c>
      <c r="B39" s="77"/>
      <c r="C39" s="96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2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1" t="s">
        <v>49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6" t="s">
        <v>52</v>
      </c>
      <c r="C5" s="116"/>
      <c r="D5" s="116"/>
      <c r="E5" s="46">
        <v>42005</v>
      </c>
    </row>
    <row r="6" spans="2:26" x14ac:dyDescent="0.25">
      <c r="B6" s="107"/>
      <c r="C6" s="107"/>
      <c r="D6" s="107"/>
    </row>
    <row r="7" spans="2:26" x14ac:dyDescent="0.25">
      <c r="B7" s="116" t="s">
        <v>53</v>
      </c>
      <c r="C7" s="116"/>
      <c r="D7" s="116"/>
      <c r="E7" s="41"/>
    </row>
    <row r="8" spans="2:26" x14ac:dyDescent="0.25">
      <c r="B8" s="107"/>
      <c r="C8" s="107"/>
      <c r="D8" s="107"/>
    </row>
    <row r="9" spans="2:26" x14ac:dyDescent="0.25">
      <c r="B9" s="116" t="s">
        <v>54</v>
      </c>
      <c r="C9" s="116"/>
      <c r="D9" s="116"/>
      <c r="E9" s="41"/>
    </row>
    <row r="10" spans="2:26" x14ac:dyDescent="0.25">
      <c r="B10" s="107"/>
      <c r="C10" s="107"/>
      <c r="D10" s="107"/>
    </row>
    <row r="11" spans="2:26" x14ac:dyDescent="0.25">
      <c r="B11" s="116" t="s">
        <v>55</v>
      </c>
      <c r="C11" s="116"/>
      <c r="D11" s="116"/>
      <c r="E11" s="46">
        <v>42005</v>
      </c>
    </row>
    <row r="12" spans="2:26" x14ac:dyDescent="0.25">
      <c r="B12" s="107"/>
      <c r="C12" s="107"/>
      <c r="D12" s="107"/>
    </row>
    <row r="13" spans="2:26" x14ac:dyDescent="0.25">
      <c r="B13" s="116" t="s">
        <v>56</v>
      </c>
      <c r="C13" s="116"/>
      <c r="D13" s="116"/>
      <c r="E13" s="41"/>
    </row>
    <row r="14" spans="2:26" x14ac:dyDescent="0.25">
      <c r="B14" s="107"/>
      <c r="C14" s="107"/>
      <c r="D14" s="107"/>
    </row>
    <row r="15" spans="2:26" x14ac:dyDescent="0.25">
      <c r="B15" s="116" t="s">
        <v>32</v>
      </c>
      <c r="C15" s="116"/>
      <c r="D15" s="116"/>
      <c r="E15" s="40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1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1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1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1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11" ht="13" x14ac:dyDescent="0.3">
      <c r="A25" s="115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5"/>
      <c r="C25" s="115"/>
      <c r="D25" s="115"/>
      <c r="E25" s="115"/>
      <c r="F25" s="115"/>
      <c r="G25" s="115"/>
    </row>
    <row r="26" spans="1:11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</row>
    <row r="29" spans="1:11" x14ac:dyDescent="0.25">
      <c r="K29" s="14"/>
    </row>
    <row r="35" spans="1:5" x14ac:dyDescent="0.25">
      <c r="A35" s="51" t="s">
        <v>15</v>
      </c>
      <c r="B35" s="52" t="s">
        <v>16</v>
      </c>
      <c r="C35" s="52" t="s">
        <v>17</v>
      </c>
      <c r="D35" s="52" t="s">
        <v>47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47</v>
      </c>
    </row>
    <row r="39" spans="1:5" x14ac:dyDescent="0.25">
      <c r="A39" s="4" t="s">
        <v>19</v>
      </c>
      <c r="B39" s="78"/>
      <c r="C39" s="98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17"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6:C36 B39:C39"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2025-07-25T13:50:28Z</dcterms:modified>
  <cp:category/>
  <cp:contentStatus/>
</cp:coreProperties>
</file>